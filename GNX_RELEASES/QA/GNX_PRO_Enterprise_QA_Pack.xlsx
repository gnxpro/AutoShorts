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QA Dashboard" sheetId="2" state="visible" r:id="rId2"/>
    <sheet xmlns:r="http://schemas.openxmlformats.org/officeDocument/2006/relationships" name="Bug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222222"/>
        <bgColor rgb="00222222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9" fontId="0" fillId="0" borderId="0" pivotButton="0" quotePrefix="0" xfId="0"/>
    <xf numFmtId="9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'QA Dashboard'!$A$4:$A$7</f>
            </numRef>
          </cat>
          <val>
            <numRef>
              <f>'QA Dashboard'!$B$4:$B$7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'QA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'QA Dashboard'!$A$14:$A$17</f>
            </numRef>
          </cat>
          <val>
            <numRef>
              <f>'QA Dashboard'!$B$14:$B$17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2" customWidth="1" min="4" max="4"/>
    <col width="36" customWidth="1" min="5" max="5"/>
    <col width="28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22" customWidth="1" min="13" max="13"/>
    <col width="28" customWidth="1" min="14" max="14"/>
  </cols>
  <sheetData>
    <row r="1">
      <c r="A1" s="1" t="inlineStr">
        <is>
          <t>No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Steps Summary</t>
        </is>
      </c>
      <c r="F1" s="1" t="inlineStr">
        <is>
          <t>Expected Result</t>
        </is>
      </c>
      <c r="G1" s="1" t="inlineStr">
        <is>
          <t>Plan Scope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Date Tested</t>
        </is>
      </c>
      <c r="L1" s="1" t="inlineStr">
        <is>
          <t>Build Version</t>
        </is>
      </c>
      <c r="M1" s="1" t="inlineStr">
        <is>
          <t>Evidence (link/path)</t>
        </is>
      </c>
      <c r="N1" s="1" t="inlineStr">
        <is>
          <t>Notes</t>
        </is>
      </c>
    </row>
    <row r="2">
      <c r="A2" s="2" t="n">
        <v>1</v>
      </c>
      <c r="B2" s="2" t="inlineStr">
        <is>
          <t>Dashboard</t>
        </is>
      </c>
      <c r="C2" s="2" t="inlineStr">
        <is>
          <t>Offline Processing</t>
        </is>
      </c>
      <c r="D2" s="2" t="inlineStr">
        <is>
          <t>Generate Offline Video</t>
        </is>
      </c>
      <c r="E2" s="2" t="inlineStr">
        <is>
          <t>Browse offline video → Select format → Generate</t>
        </is>
      </c>
      <c r="F2" s="2" t="inlineStr">
        <is>
          <t>Job completes; output generated</t>
        </is>
      </c>
      <c r="G2" s="2" t="inlineStr">
        <is>
          <t>FREE/BASIC/PRO</t>
        </is>
      </c>
      <c r="H2" s="2" t="inlineStr">
        <is>
          <t>Medium</t>
        </is>
      </c>
      <c r="I2" s="2" t="inlineStr"/>
      <c r="J2" s="2" t="inlineStr"/>
      <c r="K2" s="2" t="inlineStr"/>
      <c r="L2" s="2" t="inlineStr">
        <is>
          <t>1.0.0</t>
        </is>
      </c>
      <c r="M2" s="2" t="inlineStr"/>
      <c r="N2" s="2" t="inlineStr"/>
    </row>
    <row r="3">
      <c r="A3" s="2" t="n">
        <v>2</v>
      </c>
      <c r="B3" s="2" t="inlineStr">
        <is>
          <t>Dashboard</t>
        </is>
      </c>
      <c r="C3" s="2" t="inlineStr">
        <is>
          <t>YouTube Processing</t>
        </is>
      </c>
      <c r="D3" s="2" t="inlineStr">
        <is>
          <t>Generate from YouTube URL</t>
        </is>
      </c>
      <c r="E3" s="2" t="inlineStr">
        <is>
          <t>Paste YouTube URL → Select format → Generate</t>
        </is>
      </c>
      <c r="F3" s="2" t="inlineStr">
        <is>
          <t>Download + process succeeds (PRO/TRIAL only)</t>
        </is>
      </c>
      <c r="G3" s="2" t="inlineStr">
        <is>
          <t>PRO/TRIAL</t>
        </is>
      </c>
      <c r="H3" s="2" t="inlineStr">
        <is>
          <t>High</t>
        </is>
      </c>
      <c r="I3" s="2" t="inlineStr"/>
      <c r="J3" s="2" t="inlineStr"/>
      <c r="K3" s="2" t="inlineStr"/>
      <c r="L3" s="2" t="inlineStr">
        <is>
          <t>1.0.0</t>
        </is>
      </c>
      <c r="M3" s="2" t="inlineStr"/>
      <c r="N3" s="2" t="inlineStr"/>
    </row>
    <row r="4">
      <c r="A4" s="2" t="n">
        <v>3</v>
      </c>
      <c r="B4" s="2" t="inlineStr">
        <is>
          <t>Cloudinary</t>
        </is>
      </c>
      <c r="C4" s="2" t="inlineStr">
        <is>
          <t>Connection</t>
        </is>
      </c>
      <c r="D4" s="2" t="inlineStr">
        <is>
          <t>Test Cloudinary Credentials</t>
        </is>
      </c>
      <c r="E4" s="2" t="inlineStr">
        <is>
          <t>Enter cloud name + API key + secret → Test</t>
        </is>
      </c>
      <c r="F4" s="2" t="inlineStr">
        <is>
          <t>Connected result shown</t>
        </is>
      </c>
      <c r="G4" s="2" t="inlineStr">
        <is>
          <t>BASIC/PRO</t>
        </is>
      </c>
      <c r="H4" s="2" t="inlineStr">
        <is>
          <t>High</t>
        </is>
      </c>
      <c r="I4" s="2" t="inlineStr"/>
      <c r="J4" s="2" t="inlineStr"/>
      <c r="K4" s="2" t="inlineStr"/>
      <c r="L4" s="2" t="inlineStr">
        <is>
          <t>1.0.0</t>
        </is>
      </c>
      <c r="M4" s="2" t="inlineStr"/>
      <c r="N4" s="2" t="inlineStr"/>
    </row>
    <row r="5">
      <c r="A5" s="2" t="n">
        <v>4</v>
      </c>
      <c r="B5" s="2" t="inlineStr">
        <is>
          <t>Cloudinary</t>
        </is>
      </c>
      <c r="C5" s="2" t="inlineStr">
        <is>
          <t>Upload</t>
        </is>
      </c>
      <c r="D5" s="2" t="inlineStr">
        <is>
          <t>Upload processed video</t>
        </is>
      </c>
      <c r="E5" s="2" t="inlineStr">
        <is>
          <t>Generate with Cloudinary connected</t>
        </is>
      </c>
      <c r="F5" s="2" t="inlineStr">
        <is>
          <t>Cloudinary video URL + thumbnail URL available</t>
        </is>
      </c>
      <c r="G5" s="2" t="inlineStr">
        <is>
          <t>BASIC/PRO</t>
        </is>
      </c>
      <c r="H5" s="2" t="inlineStr">
        <is>
          <t>High</t>
        </is>
      </c>
      <c r="I5" s="2" t="inlineStr"/>
      <c r="J5" s="2" t="inlineStr"/>
      <c r="K5" s="2" t="inlineStr"/>
      <c r="L5" s="2" t="inlineStr">
        <is>
          <t>1.0.0</t>
        </is>
      </c>
      <c r="M5" s="2" t="inlineStr"/>
      <c r="N5" s="2" t="inlineStr"/>
    </row>
    <row r="6">
      <c r="A6" s="2" t="n">
        <v>5</v>
      </c>
      <c r="B6" s="2" t="inlineStr">
        <is>
          <t>AI Settings</t>
        </is>
      </c>
      <c r="C6" s="2" t="inlineStr">
        <is>
          <t>OpenAI Login</t>
        </is>
      </c>
      <c r="D6" s="2" t="inlineStr">
        <is>
          <t>Test OpenAI key</t>
        </is>
      </c>
      <c r="E6" s="2" t="inlineStr">
        <is>
          <t>Enter OpenAI key → Test → Save</t>
        </is>
      </c>
      <c r="F6" s="2" t="inlineStr">
        <is>
          <t>OpenAI connected (PRO/TRIAL only)</t>
        </is>
      </c>
      <c r="G6" s="2" t="inlineStr">
        <is>
          <t>PRO/TRIAL</t>
        </is>
      </c>
      <c r="H6" s="2" t="inlineStr">
        <is>
          <t>High</t>
        </is>
      </c>
      <c r="I6" s="2" t="inlineStr"/>
      <c r="J6" s="2" t="inlineStr"/>
      <c r="K6" s="2" t="inlineStr"/>
      <c r="L6" s="2" t="inlineStr">
        <is>
          <t>1.0.0</t>
        </is>
      </c>
      <c r="M6" s="2" t="inlineStr"/>
      <c r="N6" s="2" t="inlineStr"/>
    </row>
    <row r="7">
      <c r="A7" s="2" t="n">
        <v>6</v>
      </c>
      <c r="B7" s="2" t="inlineStr">
        <is>
          <t>AI Tools</t>
        </is>
      </c>
      <c r="C7" s="2" t="inlineStr">
        <is>
          <t>Subtitles</t>
        </is>
      </c>
      <c r="D7" s="2" t="inlineStr">
        <is>
          <t>Generate subtitles</t>
        </is>
      </c>
      <c r="E7" s="2" t="inlineStr">
        <is>
          <t>Enable Subtitles → Generate</t>
        </is>
      </c>
      <c r="F7" s="2" t="inlineStr">
        <is>
          <t>Subtitle output created</t>
        </is>
      </c>
      <c r="G7" s="2" t="inlineStr">
        <is>
          <t>PRO/TRIAL</t>
        </is>
      </c>
      <c r="H7" s="2" t="inlineStr">
        <is>
          <t>Medium</t>
        </is>
      </c>
      <c r="I7" s="2" t="inlineStr"/>
      <c r="J7" s="2" t="inlineStr"/>
      <c r="K7" s="2" t="inlineStr"/>
      <c r="L7" s="2" t="inlineStr">
        <is>
          <t>1.0.0</t>
        </is>
      </c>
      <c r="M7" s="2" t="inlineStr"/>
      <c r="N7" s="2" t="inlineStr"/>
    </row>
    <row r="8">
      <c r="A8" s="2" t="n">
        <v>7</v>
      </c>
      <c r="B8" s="2" t="inlineStr">
        <is>
          <t>AI Tools</t>
        </is>
      </c>
      <c r="C8" s="2" t="inlineStr">
        <is>
          <t>Hooks</t>
        </is>
      </c>
      <c r="D8" s="2" t="inlineStr">
        <is>
          <t>Generate hooks</t>
        </is>
      </c>
      <c r="E8" s="2" t="inlineStr">
        <is>
          <t>Enable Hooks → Generate</t>
        </is>
      </c>
      <c r="F8" s="2" t="inlineStr">
        <is>
          <t>Hook list returned</t>
        </is>
      </c>
      <c r="G8" s="2" t="inlineStr">
        <is>
          <t>PRO/TRIAL</t>
        </is>
      </c>
      <c r="H8" s="2" t="inlineStr">
        <is>
          <t>Medium</t>
        </is>
      </c>
      <c r="I8" s="2" t="inlineStr"/>
      <c r="J8" s="2" t="inlineStr"/>
      <c r="K8" s="2" t="inlineStr"/>
      <c r="L8" s="2" t="inlineStr">
        <is>
          <t>1.0.0</t>
        </is>
      </c>
      <c r="M8" s="2" t="inlineStr"/>
      <c r="N8" s="2" t="inlineStr"/>
    </row>
    <row r="9">
      <c r="A9" s="2" t="n">
        <v>8</v>
      </c>
      <c r="B9" s="2" t="inlineStr">
        <is>
          <t>AI Tools</t>
        </is>
      </c>
      <c r="C9" s="2" t="inlineStr">
        <is>
          <t>Hashtags</t>
        </is>
      </c>
      <c r="D9" s="2" t="inlineStr">
        <is>
          <t>Generate hashtags</t>
        </is>
      </c>
      <c r="E9" s="2" t="inlineStr">
        <is>
          <t>Enable Hashtags → Generate</t>
        </is>
      </c>
      <c r="F9" s="2" t="inlineStr">
        <is>
          <t>Hashtag list returned</t>
        </is>
      </c>
      <c r="G9" s="2" t="inlineStr">
        <is>
          <t>PRO/TRIAL</t>
        </is>
      </c>
      <c r="H9" s="2" t="inlineStr">
        <is>
          <t>Low</t>
        </is>
      </c>
      <c r="I9" s="2" t="inlineStr"/>
      <c r="J9" s="2" t="inlineStr"/>
      <c r="K9" s="2" t="inlineStr"/>
      <c r="L9" s="2" t="inlineStr">
        <is>
          <t>1.0.0</t>
        </is>
      </c>
      <c r="M9" s="2" t="inlineStr"/>
      <c r="N9" s="2" t="inlineStr"/>
    </row>
    <row r="10">
      <c r="A10" s="2" t="n">
        <v>9</v>
      </c>
      <c r="B10" s="2" t="inlineStr">
        <is>
          <t>Repliz</t>
        </is>
      </c>
      <c r="C10" s="2" t="inlineStr">
        <is>
          <t>Connection</t>
        </is>
      </c>
      <c r="D10" s="2" t="inlineStr">
        <is>
          <t>Connect Repliz API</t>
        </is>
      </c>
      <c r="E10" s="2" t="inlineStr">
        <is>
          <t>Enter Base URL + Access + Secret → Connect</t>
        </is>
      </c>
      <c r="F10" s="2" t="inlineStr">
        <is>
          <t>Connect button green; accounts loaded</t>
        </is>
      </c>
      <c r="G10" s="2" t="inlineStr">
        <is>
          <t>BASIC/PRO</t>
        </is>
      </c>
      <c r="H10" s="2" t="inlineStr">
        <is>
          <t>Critical</t>
        </is>
      </c>
      <c r="I10" s="2" t="inlineStr"/>
      <c r="J10" s="2" t="inlineStr"/>
      <c r="K10" s="2" t="inlineStr"/>
      <c r="L10" s="2" t="inlineStr">
        <is>
          <t>1.0.0</t>
        </is>
      </c>
      <c r="M10" s="2" t="inlineStr"/>
      <c r="N10" s="2" t="inlineStr"/>
    </row>
    <row r="11">
      <c r="A11" s="2" t="n">
        <v>10</v>
      </c>
      <c r="B11" s="2" t="inlineStr">
        <is>
          <t>Repliz</t>
        </is>
      </c>
      <c r="C11" s="2" t="inlineStr">
        <is>
          <t>Schedule</t>
        </is>
      </c>
      <c r="D11" s="2" t="inlineStr">
        <is>
          <t>Manual schedule after generate</t>
        </is>
      </c>
      <c r="E11" s="2" t="inlineStr">
        <is>
          <t>Select accounts → Generate video with schedule enabled</t>
        </is>
      </c>
      <c r="F11" s="2" t="inlineStr">
        <is>
          <t>Schedule created in Repliz</t>
        </is>
      </c>
      <c r="G11" s="2" t="inlineStr">
        <is>
          <t>BASIC/PRO</t>
        </is>
      </c>
      <c r="H11" s="2" t="inlineStr">
        <is>
          <t>Critical</t>
        </is>
      </c>
      <c r="I11" s="2" t="inlineStr"/>
      <c r="J11" s="2" t="inlineStr"/>
      <c r="K11" s="2" t="inlineStr"/>
      <c r="L11" s="2" t="inlineStr">
        <is>
          <t>1.0.0</t>
        </is>
      </c>
      <c r="M11" s="2" t="inlineStr"/>
      <c r="N11" s="2" t="inlineStr"/>
    </row>
    <row r="12">
      <c r="A12" s="2" t="n">
        <v>11</v>
      </c>
      <c r="B12" s="2" t="inlineStr">
        <is>
          <t>Repliz</t>
        </is>
      </c>
      <c r="C12" s="2" t="inlineStr">
        <is>
          <t>Auto Scheduler</t>
        </is>
      </c>
      <c r="D12" s="2" t="inlineStr">
        <is>
          <t>Auto schedule bulk URLs</t>
        </is>
      </c>
      <c r="E12" s="2" t="inlineStr">
        <is>
          <t>Paste URLs → set days/posts/day → Create</t>
        </is>
      </c>
      <c r="F12" s="2" t="inlineStr">
        <is>
          <t>Schedules distributed across days/time window</t>
        </is>
      </c>
      <c r="G12" s="2" t="inlineStr">
        <is>
          <t>BASIC/PRO</t>
        </is>
      </c>
      <c r="H12" s="2" t="inlineStr">
        <is>
          <t>High</t>
        </is>
      </c>
      <c r="I12" s="2" t="inlineStr"/>
      <c r="J12" s="2" t="inlineStr"/>
      <c r="K12" s="2" t="inlineStr"/>
      <c r="L12" s="2" t="inlineStr">
        <is>
          <t>1.0.0</t>
        </is>
      </c>
      <c r="M12" s="2" t="inlineStr"/>
      <c r="N12" s="2" t="inlineStr"/>
    </row>
    <row r="13">
      <c r="A13" s="2" t="n">
        <v>12</v>
      </c>
      <c r="B13" s="2" t="inlineStr">
        <is>
          <t>Worker</t>
        </is>
      </c>
      <c r="C13" s="2" t="inlineStr">
        <is>
          <t>Worker Start</t>
        </is>
      </c>
      <c r="D13" s="2" t="inlineStr">
        <is>
          <t>Start worker process</t>
        </is>
      </c>
      <c r="E13" s="2" t="inlineStr">
        <is>
          <t>Worker Control → Start</t>
        </is>
      </c>
      <c r="F13" s="2" t="inlineStr">
        <is>
          <t>Status RUNNING</t>
        </is>
      </c>
      <c r="G13" s="2" t="inlineStr">
        <is>
          <t>BASIC/PRO</t>
        </is>
      </c>
      <c r="H13" s="2" t="inlineStr">
        <is>
          <t>High</t>
        </is>
      </c>
      <c r="I13" s="2" t="inlineStr"/>
      <c r="J13" s="2" t="inlineStr"/>
      <c r="K13" s="2" t="inlineStr"/>
      <c r="L13" s="2" t="inlineStr">
        <is>
          <t>1.0.0</t>
        </is>
      </c>
      <c r="M13" s="2" t="inlineStr"/>
      <c r="N13" s="2" t="inlineStr"/>
    </row>
    <row r="14">
      <c r="A14" s="2" t="n">
        <v>13</v>
      </c>
      <c r="B14" s="2" t="inlineStr">
        <is>
          <t>Worker</t>
        </is>
      </c>
      <c r="C14" s="2" t="inlineStr">
        <is>
          <t>Worker Stop</t>
        </is>
      </c>
      <c r="D14" s="2" t="inlineStr">
        <is>
          <t>Stop worker process</t>
        </is>
      </c>
      <c r="E14" s="2" t="inlineStr">
        <is>
          <t>Worker Control → Stop</t>
        </is>
      </c>
      <c r="F14" s="2" t="inlineStr">
        <is>
          <t>Status STOPPED</t>
        </is>
      </c>
      <c r="G14" s="2" t="inlineStr">
        <is>
          <t>BASIC/PRO</t>
        </is>
      </c>
      <c r="H14" s="2" t="inlineStr">
        <is>
          <t>High</t>
        </is>
      </c>
      <c r="I14" s="2" t="inlineStr"/>
      <c r="J14" s="2" t="inlineStr"/>
      <c r="K14" s="2" t="inlineStr"/>
      <c r="L14" s="2" t="inlineStr">
        <is>
          <t>1.0.0</t>
        </is>
      </c>
      <c r="M14" s="2" t="inlineStr"/>
      <c r="N14" s="2" t="inlineStr"/>
    </row>
    <row r="15">
      <c r="A15" s="2" t="n">
        <v>14</v>
      </c>
      <c r="B15" s="2" t="inlineStr">
        <is>
          <t>Monitoring</t>
        </is>
      </c>
      <c r="C15" s="2" t="inlineStr">
        <is>
          <t>Jobs List</t>
        </is>
      </c>
      <c r="D15" s="2" t="inlineStr">
        <is>
          <t>Load jobs from DB</t>
        </is>
      </c>
      <c r="E15" s="2" t="inlineStr">
        <is>
          <t>Open Monitoring page</t>
        </is>
      </c>
      <c r="F15" s="2" t="inlineStr">
        <is>
          <t>Jobs displayed without filesystem permission errors</t>
        </is>
      </c>
      <c r="G15" s="2" t="inlineStr">
        <is>
          <t>FREE/BASIC/PRO</t>
        </is>
      </c>
      <c r="H15" s="2" t="inlineStr">
        <is>
          <t>Medium</t>
        </is>
      </c>
      <c r="I15" s="2" t="inlineStr"/>
      <c r="J15" s="2" t="inlineStr"/>
      <c r="K15" s="2" t="inlineStr"/>
      <c r="L15" s="2" t="inlineStr">
        <is>
          <t>1.0.0</t>
        </is>
      </c>
      <c r="M15" s="2" t="inlineStr"/>
      <c r="N15" s="2" t="inlineStr"/>
    </row>
    <row r="16">
      <c r="A16" s="2" t="n">
        <v>15</v>
      </c>
      <c r="B16" s="2" t="inlineStr">
        <is>
          <t>License</t>
        </is>
      </c>
      <c r="C16" s="2" t="inlineStr">
        <is>
          <t>Plan Gating</t>
        </is>
      </c>
      <c r="D16" s="2" t="inlineStr">
        <is>
          <t>FREE/BASIC restrictions</t>
        </is>
      </c>
      <c r="E16" s="2" t="inlineStr">
        <is>
          <t>Attempt YouTube + AI on FREE/BASIC</t>
        </is>
      </c>
      <c r="F16" s="2" t="inlineStr">
        <is>
          <t>YouTube disabled; AI disabled; offline still works</t>
        </is>
      </c>
      <c r="G16" s="2" t="inlineStr">
        <is>
          <t>FREE/BASIC</t>
        </is>
      </c>
      <c r="H16" s="2" t="inlineStr">
        <is>
          <t>High</t>
        </is>
      </c>
      <c r="I16" s="2" t="inlineStr"/>
      <c r="J16" s="2" t="inlineStr"/>
      <c r="K16" s="2" t="inlineStr"/>
      <c r="L16" s="2" t="inlineStr">
        <is>
          <t>1.0.0</t>
        </is>
      </c>
      <c r="M16" s="2" t="inlineStr"/>
      <c r="N16" s="2" t="inlineStr"/>
    </row>
  </sheetData>
  <conditionalFormatting sqref="I2:I200">
    <cfRule type="expression" priority="1" dxfId="0">
      <formula>$I2="PASS"</formula>
    </cfRule>
    <cfRule type="expression" priority="2" dxfId="1">
      <formula>$I2="FAIL"</formula>
    </cfRule>
    <cfRule type="expression" priority="3" dxfId="2">
      <formula>$I2="IN PROGRESS"</formula>
    </cfRule>
    <cfRule type="expression" priority="4" dxfId="3">
      <formula>$I2="BLOCKED"</formula>
    </cfRule>
  </conditionalFormatting>
  <dataValidations count="3">
    <dataValidation sqref="I2:I200" showDropDown="0" showInputMessage="0" showErrorMessage="0" allowBlank="1" type="list">
      <formula1>"PASS,FAIL,IN PROGRESS,BLOCKED"</formula1>
    </dataValidation>
    <dataValidation sqref="H2:H200" showDropDown="0" showInputMessage="0" showErrorMessage="0" allowBlank="1" type="list">
      <formula1>"Low,Medium,High,Critical"</formula1>
    </dataValidation>
    <dataValidation sqref="G2:G200" showDropDown="0" showInputMessage="0" showErrorMessage="0" allowBlank="1" type="list">
      <formula1>"FREE,BASIC,PRO,TRIAL,FREE/BASIC,PRO/TRIAL,FREE/BASIC/PRO,BASIC/PRO"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3" t="inlineStr">
        <is>
          <t>GNX PRO - Enterprise QA Dashboard</t>
        </is>
      </c>
    </row>
    <row r="3">
      <c r="A3" s="4" t="inlineStr">
        <is>
          <t>Total Tests</t>
        </is>
      </c>
      <c r="B3">
        <f>COUNTA('QA Checklist'!A2:A200)</f>
        <v/>
      </c>
    </row>
    <row r="4">
      <c r="A4" s="4" t="inlineStr">
        <is>
          <t>Passed</t>
        </is>
      </c>
      <c r="B4">
        <f>COUNTIF('QA Checklist'!I2:I200,"PASS")</f>
        <v/>
      </c>
    </row>
    <row r="5">
      <c r="A5" s="4" t="inlineStr">
        <is>
          <t>Failed</t>
        </is>
      </c>
      <c r="B5">
        <f>COUNTIF('QA Checklist'!I2:I200,"FAIL")</f>
        <v/>
      </c>
    </row>
    <row r="6">
      <c r="A6" s="4" t="inlineStr">
        <is>
          <t>In Progress</t>
        </is>
      </c>
      <c r="B6">
        <f>COUNTIF('QA Checklist'!I2:I200,"IN PROGRESS")</f>
        <v/>
      </c>
    </row>
    <row r="7">
      <c r="A7" s="4" t="inlineStr">
        <is>
          <t>Blocked</t>
        </is>
      </c>
      <c r="B7">
        <f>COUNTIF('QA Checklist'!I2:I200,"BLOCKED")</f>
        <v/>
      </c>
    </row>
    <row r="8">
      <c r="A8" s="4" t="n"/>
    </row>
    <row r="9">
      <c r="A9" s="4" t="inlineStr">
        <is>
          <t>Completion %</t>
        </is>
      </c>
      <c r="B9" s="5">
        <f>IF(B3=0,0,B4/B3)</f>
        <v/>
      </c>
    </row>
    <row r="11">
      <c r="A11" t="inlineStr">
        <is>
          <t>Progress Bar</t>
        </is>
      </c>
      <c r="B11" s="6">
        <f>B9</f>
        <v/>
      </c>
    </row>
    <row r="13">
      <c r="A13" s="7" t="inlineStr">
        <is>
          <t>Severity</t>
        </is>
      </c>
      <c r="B13" s="7" t="inlineStr">
        <is>
          <t>Count</t>
        </is>
      </c>
    </row>
    <row r="14">
      <c r="A14" t="inlineStr">
        <is>
          <t>Low</t>
        </is>
      </c>
      <c r="B14">
        <f>COUNTIF('QA Checklist'!H2:H200,"Low")</f>
        <v/>
      </c>
    </row>
    <row r="15">
      <c r="A15" t="inlineStr">
        <is>
          <t>Medium</t>
        </is>
      </c>
      <c r="B15">
        <f>COUNTIF('QA Checklist'!H2:H200,"Medium")</f>
        <v/>
      </c>
    </row>
    <row r="16">
      <c r="A16" t="inlineStr">
        <is>
          <t>High</t>
        </is>
      </c>
      <c r="B16">
        <f>COUNTIF('QA Checklist'!H2:H200,"High")</f>
        <v/>
      </c>
    </row>
    <row r="17">
      <c r="A17" t="inlineStr">
        <is>
          <t>Critical</t>
        </is>
      </c>
      <c r="B17">
        <f>COUNTIF('QA Checklist'!H2:H200,"Critical")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12" customWidth="1" min="5" max="5"/>
    <col width="32" customWidth="1" min="6" max="6"/>
    <col width="22" customWidth="1" min="7" max="7"/>
    <col width="22" customWidth="1" min="8" max="8"/>
    <col width="12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Steps to Reproduce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Build Version</t>
        </is>
      </c>
      <c r="J1" s="1" t="inlineStr">
        <is>
          <t>Owner</t>
        </is>
      </c>
      <c r="K1" s="1" t="inlineStr">
        <is>
          <t>Created Date</t>
        </is>
      </c>
      <c r="L1" s="1" t="inlineStr">
        <is>
          <t>Evidence (link/path)</t>
        </is>
      </c>
    </row>
  </sheetData>
  <conditionalFormatting sqref="D2:D500">
    <cfRule type="expression" priority="1" dxfId="1">
      <formula>$D2="Critical"</formula>
    </cfRule>
    <cfRule type="expression" priority="2" dxfId="2">
      <formula>$D2="High"</formula>
    </cfRule>
    <cfRule type="expression" priority="3" dxfId="4">
      <formula>$D2="Medium"</formula>
    </cfRule>
    <cfRule type="expression" priority="4" dxfId="0">
      <formula>$D2="Low"</formula>
    </cfRule>
  </conditionalFormatting>
  <dataValidations count="2">
    <dataValidation sqref="E2:E500" showDropDown="0" showInputMessage="0" showErrorMessage="0" allowBlank="1" type="list">
      <formula1>"OPEN,IN PROGRESS,RESOLVED,CLOSED"</formula1>
    </dataValidation>
    <dataValidation sqref="D2:D5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2026-03-03T13:39:27Z</dcterms:created>
  <dcterms:modified xmlns:dcterms="http://purl.org/dc/terms/" xmlns:xsi="http://www.w3.org/2001/XMLSchema-instance" xsi:type="dcterms:W3CDTF">2026-03-03T13:39:27Z</dcterms:modified>
</cp:coreProperties>
</file>