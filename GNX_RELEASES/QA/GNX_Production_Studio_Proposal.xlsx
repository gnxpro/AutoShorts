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5bbaa2c61848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390d67741064e7d"/>
    <x:sheet xmlns:r="http://schemas.openxmlformats.org/officeDocument/2006/relationships" name="Pricing" sheetId="2" r:id="R3a4f5d6d5a374819"/>
    <x:sheet xmlns:r="http://schemas.openxmlformats.org/officeDocument/2006/relationships" name="Feature Matrix" sheetId="3" r:id="Rd325bacef3ea43c1"/>
    <x:sheet xmlns:r="http://schemas.openxmlformats.org/officeDocument/2006/relationships" name="ROI Calculator" sheetId="4" r:id="R0deebff726e049d8"/>
    <x:sheet xmlns:r="http://schemas.openxmlformats.org/officeDocument/2006/relationships" name="Implementation" sheetId="5" r:id="Re642689ad6de4293"/>
    <x:sheet xmlns:r="http://schemas.openxmlformats.org/officeDocument/2006/relationships" name="Terms" sheetId="6" r:id="R517d5ced272948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%"/>
  </x:numFmts>
  <x:fonts count="8">
    <x:font>
      <x:sz val="11"/>
      <x:color theme="1"/>
      <x:name val="Calibri"/>
      <x:family val="2"/>
      <x:scheme val="minor"/>
    </x:font>
    <x:font>
      <x:b/>
      <x:sz val="22"/>
    </x:font>
    <x:font>
      <x:sz val="11"/>
      <x:color rgb="00555555"/>
    </x:font>
    <x:font>
      <x:b/>
      <x:sz val="12"/>
      <x:color rgb="00111111"/>
    </x:font>
    <x:font>
      <x:b/>
      <x:sz val="18"/>
    </x:font>
    <x:font>
      <x:sz val="10"/>
      <x:color rgb="00444444"/>
    </x:font>
    <x:font>
      <x:b/>
      <x:color rgb="00FFFFFF"/>
    </x:font>
    <x:font>
      <x:b/>
    </x:font>
  </x:fonts>
  <x:fills count="4">
    <x:fill>
      <x:patternFill patternType="none"/>
    </x:fill>
    <x:fill>
      <x:patternFill patternType="gray125"/>
    </x:fill>
    <x:fill>
      <x:patternFill patternType="solid">
        <x:fgColor rgb="00111111"/>
      </x:patternFill>
    </x:fill>
    <x:fill>
      <x:patternFill patternType="solid">
        <x:fgColor rgb="00D9E1F2"/>
      </x:patternFill>
    </x:fill>
  </x:fills>
  <x:borders count="2">
    <x:border>
      <x:left/>
      <x:right/>
      <x:top/>
      <x:bottom/>
      <x:diagonal/>
    </x:border>
    <x:border>
      <x:left style="thin">
        <x:color rgb="00B0B0B0"/>
      </x:left>
      <x:right style="thin">
        <x:color rgb="00B0B0B0"/>
      </x:right>
      <x:top style="thin">
        <x:color rgb="00B0B0B0"/>
      </x:top>
      <x:bottom style="thin">
        <x:color rgb="00B0B0B0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0" fillId="0" borderId="0" xfId="0" applyAlignment="1">
      <x:alignment wrapText="1"/>
    </x:xf>
    <x:xf numFmtId="0" fontId="4" fillId="0" borderId="0" xfId="0"/>
    <x:xf numFmtId="0" fontId="5" fillId="0" borderId="0" xfId="0" applyAlignment="1">
      <x:alignment wrapText="1"/>
    </x:xf>
    <x:xf numFmtId="0" fontId="6" fillId="2" borderId="1" xfId="0" applyAlignment="1">
      <x:alignment horizontal="center" vertical="center" wrapText="1"/>
    </x:xf>
    <x:xf numFmtId="0" fontId="7" fillId="0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5" fillId="0" borderId="0" xfId="0"/>
    <x:xf numFmtId="0" fontId="0" fillId="0" borderId="1" xfId="0" applyAlignment="1">
      <x:alignment horizontal="center" vertical="center" wrapText="1"/>
    </x:xf>
    <x:xf numFmtId="0" fontId="0" fillId="0" borderId="1" xfId="0" applyAlignment="1">
      <x:alignment wrapText="1"/>
    </x:xf>
    <x:xf numFmtId="3" fontId="0" fillId="3" borderId="1" xfId="0"/>
    <x:xf numFmtId="0" fontId="0" fillId="0" borderId="1" xfId="0"/>
    <x:xf numFmtId="4" fontId="7" fillId="0" borderId="1" xfId="0"/>
    <x:xf numFmtId="3" fontId="7" fillId="0" borderId="1" xfId="0"/>
    <x:xf numFmtId="164" fontId="7" fillId="0" borderId="1" xfId="0"/>
    <x:xf numFmtId="0" fontId="7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a46550d0744b83" /><Relationship Type="http://schemas.openxmlformats.org/officeDocument/2006/relationships/theme" Target="/xl/theme/theme1.xml" Id="Rbd6cec2c0dc14eb2" /><Relationship Type="http://schemas.openxmlformats.org/officeDocument/2006/relationships/sharedStrings" Target="/xl/sharedStrings.xml" Id="Rc3d2420fb2424db8" /><Relationship Type="http://schemas.openxmlformats.org/officeDocument/2006/relationships/worksheet" Target="/xl/worksheets/sheet1.xml" Id="Rd390d67741064e7d" /><Relationship Type="http://schemas.openxmlformats.org/officeDocument/2006/relationships/worksheet" Target="/xl/worksheets/sheet2.xml" Id="R3a4f5d6d5a374819" /><Relationship Type="http://schemas.openxmlformats.org/officeDocument/2006/relationships/worksheet" Target="/xl/worksheets/sheet3.xml" Id="Rd325bacef3ea43c1" /><Relationship Type="http://schemas.openxmlformats.org/officeDocument/2006/relationships/worksheet" Target="/xl/worksheets/sheet4.xml" Id="R0deebff726e049d8" /><Relationship Type="http://schemas.openxmlformats.org/officeDocument/2006/relationships/worksheet" Target="/xl/worksheets/sheet5.xml" Id="Re642689ad6de4293" /><Relationship Type="http://schemas.openxmlformats.org/officeDocument/2006/relationships/worksheet" Target="/xl/worksheets/sheet6.xml" Id="R517d5ced2729480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" customWidth="1"/>
    <x:col min="2" max="2" width="32" customWidth="1"/>
    <x:col min="3" max="3" width="64" customWidth="1"/>
    <x:col min="4" max="4" width="20" customWidth="1"/>
  </x:cols>
  <x:sheetData>
    <x:row r="2">
      <x:c r="B2" s="1" t="inlineStr">
        <x:is>
          <x:t xml:space="preserve">GNX AI Production Studio</x:t>
        </x:is>
      </x:c>
    </x:row>
    <x:row r="3">
      <x:c r="B3" s="2" t="inlineStr">
        <x:is>
          <x:t xml:space="preserve">Desktop app today → Future SaaS (VPS + domain) roadmap</x:t>
        </x:is>
      </x:c>
    </x:row>
    <x:row r="5">
      <x:c r="B5" s="3" t="inlineStr">
        <x:is>
          <x:t xml:space="preserve">What it solves</x:t>
        </x:is>
      </x:c>
      <x:c r="C5" s="4" t="inlineStr">
        <x:is>
          <x:t xml:space="preserve">Turn long videos into consistent short-form outputs, upload, and schedule across multiple social accounts—fast and repeatable.</x:t>
        </x:is>
      </x:c>
    </x:row>
    <x:row r="7">
      <x:c r="B7" s="3" t="inlineStr">
        <x:is>
          <x:t xml:space="preserve">Core flow</x:t>
        </x:is>
      </x:c>
      <x:c r="C7" s="4" t="inlineStr">
        <x:is>
          <x:t xml:space="preserve">Source (Offline / YouTube) → Auto crop (9:16 / 16:9) → Upload (Cloudinary) → Schedule (Repliz) → Optional AI add-ons (hooks, subtitles, niche, hashtags)</x:t>
        </x:is>
      </x:c>
    </x:row>
    <x:row r="9">
      <x:c r="B9" s="3" t="inlineStr">
        <x:is>
          <x:t xml:space="preserve">Key differentiators</x:t>
        </x:is>
      </x:c>
      <x:c r="C9" s="4" t="inlineStr">
        <x:is>
          <x:t xml:space="preserve">• Safety cap: max 100 social accounts to reduce risk of shadowban / mass bans.
• Plan gating: Free/Basic can run Offline-only and without AI to keep costs low.
• Works with your own API keys (OpenAI / Cloudinary / Repliz) — no vendor lock-in.
• Designed to migrate to SaaS later (VPS-ready architecture).</x:t>
        </x:is>
      </x:c>
    </x:row>
    <x:row r="12">
      <x:c r="B12" s="3" t="inlineStr">
        <x:is>
          <x:t xml:space="preserve">Recommended for</x:t>
        </x:is>
      </x:c>
      <x:c r="C12" s="4" t="inlineStr">
        <x:is>
          <x:t xml:space="preserve">Creators, agencies, SMEs, and enterprise teams with content operations.</x:t>
        </x:is>
      </x:c>
    </x:row>
    <x:row r="14">
      <x:c r="B14" s="3" t="inlineStr">
        <x:is>
          <x:t xml:space="preserve">Next step</x:t>
        </x:is>
      </x:c>
      <x:c r="C14" s="4" t="inlineStr">
        <x:is>
          <x:t xml:space="preserve">Choose plan → Configure keys → Run pilot (1–3 days) → Roll out to team.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" customWidth="1"/>
    <x:col min="2" max="2" width="18" customWidth="1"/>
    <x:col min="3" max="3" width="16" customWidth="1"/>
    <x:col min="4" max="4" width="16" customWidth="1"/>
    <x:col min="5" max="5" width="18" customWidth="1"/>
    <x:col min="6" max="6" width="18" customWidth="1"/>
    <x:col min="7" max="7" width="26" customWidth="1"/>
  </x:cols>
  <x:sheetData>
    <x:row r="2">
      <x:c r="B2" s="5" t="inlineStr">
        <x:is>
          <x:t xml:space="preserve">Plans &amp; Pricing (Suggested)</x:t>
        </x:is>
      </x:c>
    </x:row>
    <x:row r="3">
      <x:c r="B3" s="6" t="inlineStr">
        <x:is>
          <x:t xml:space="preserve">Currency: IDR (can be adjusted). Third-party usage fees (OpenAI/Cloudinary/Repliz) billed separately.</x:t>
        </x:is>
      </x:c>
    </x:row>
    <x:row r="4">
      <x:c r="A4" t="inlineStr">
        <x:is>
          <x:t xml:space="preserve"/>
        </x:is>
      </x:c>
      <x:c r="B4" t="inlineStr">
        <x:is>
          <x:t xml:space="preserve"/>
        </x:is>
      </x:c>
      <x:c r="C4" t="inlineStr">
        <x:is>
          <x:t xml:space="preserve"/>
        </x:is>
      </x:c>
      <x:c r="D4" t="inlineStr">
        <x:is>
          <x:t xml:space="preserve"/>
        </x:is>
      </x:c>
      <x:c r="E4" t="inlineStr">
        <x:is>
          <x:t xml:space="preserve"/>
        </x:is>
      </x:c>
      <x:c r="F4" t="inlineStr">
        <x:is>
          <x:t xml:space="preserve"/>
        </x:is>
      </x:c>
      <x:c r="G4" t="inlineStr">
        <x:is>
          <x:t xml:space="preserve"/>
        </x:is>
      </x:c>
      <x:c r="H4" t="inlineStr">
        <x:is>
          <x:t xml:space="preserve"/>
        </x:is>
      </x:c>
    </x:row>
    <x:row r="5" ht="30" customHeight="1">
      <x:c r="B5" s="7" t="inlineStr">
        <x:is>
          <x:t xml:space="preserve">Plan</x:t>
        </x:is>
      </x:c>
      <x:c r="C5" s="7" t="inlineStr">
        <x:is>
          <x:t xml:space="preserve">Monthly</x:t>
        </x:is>
      </x:c>
      <x:c r="D5" s="7" t="inlineStr">
        <x:is>
          <x:t xml:space="preserve">Annual (save 2 mo)</x:t>
        </x:is>
      </x:c>
      <x:c r="E5" s="7" t="inlineStr">
        <x:is>
          <x:t xml:space="preserve">Max Social Accounts</x:t>
        </x:is>
      </x:c>
      <x:c r="F5" s="7" t="inlineStr">
        <x:is>
          <x:t xml:space="preserve">YouTube Mode</x:t>
        </x:is>
      </x:c>
      <x:c r="G5" s="7" t="inlineStr">
        <x:is>
          <x:t xml:space="preserve">AI Tools</x:t>
        </x:is>
      </x:c>
      <x:c r="H5" s="7" t="inlineStr">
        <x:is>
          <x:t xml:space="preserve">Scheduling</x:t>
        </x:is>
      </x:c>
      <x:c r="I5" s="7" t="inlineStr">
        <x:is>
          <x:t xml:space="preserve">Support</x:t>
        </x:is>
      </x:c>
    </x:row>
    <x:row r="6" ht="36" customHeight="1">
      <x:c r="B6" s="8" t="inlineStr">
        <x:is>
          <x:t xml:space="preserve">FREE</x:t>
        </x:is>
      </x:c>
      <x:c r="C6" s="9" t="inlineStr">
        <x:is>
          <x:t xml:space="preserve">Rp 0</x:t>
        </x:is>
      </x:c>
      <x:c r="D6" s="9" t="inlineStr">
        <x:is>
          <x:t xml:space="preserve">Rp 0</x:t>
        </x:is>
      </x:c>
      <x:c r="E6" s="9" t="inlineStr">
        <x:is>
          <x:t xml:space="preserve">5 (safety cap)</x:t>
        </x:is>
      </x:c>
      <x:c r="F6" s="9" t="inlineStr">
        <x:is>
          <x:t xml:space="preserve">No</x:t>
        </x:is>
      </x:c>
      <x:c r="G6" s="9" t="inlineStr">
        <x:is>
          <x:t xml:space="preserve">No</x:t>
        </x:is>
      </x:c>
      <x:c r="H6" s="9" t="inlineStr">
        <x:is>
          <x:t xml:space="preserve">No</x:t>
        </x:is>
      </x:c>
      <x:c r="I6" s="9" t="inlineStr">
        <x:is>
          <x:t xml:space="preserve">Community</x:t>
        </x:is>
      </x:c>
    </x:row>
    <x:row r="7" ht="36" customHeight="1">
      <x:c r="B7" s="8" t="inlineStr">
        <x:is>
          <x:t xml:space="preserve">BASIC (Starter)</x:t>
        </x:is>
      </x:c>
      <x:c r="C7" s="9" t="inlineStr">
        <x:is>
          <x:t xml:space="preserve">Rp 299,000</x:t>
        </x:is>
      </x:c>
      <x:c r="D7" s="9" t="inlineStr">
        <x:is>
          <x:t xml:space="preserve">Rp 2,990,000</x:t>
        </x:is>
      </x:c>
      <x:c r="E7" s="9" t="inlineStr">
        <x:is>
          <x:t xml:space="preserve">5</x:t>
        </x:is>
      </x:c>
      <x:c r="F7" s="9" t="inlineStr">
        <x:is>
          <x:t xml:space="preserve">No (Offline-only)</x:t>
        </x:is>
      </x:c>
      <x:c r="G7" s="9" t="inlineStr">
        <x:is>
          <x:t xml:space="preserve">No</x:t>
        </x:is>
      </x:c>
      <x:c r="H7" s="9" t="inlineStr">
        <x:is>
          <x:t xml:space="preserve">Yes (Repliz) - optional</x:t>
        </x:is>
      </x:c>
      <x:c r="I7" s="9" t="inlineStr">
        <x:is>
          <x:t xml:space="preserve">Email (best-effort)</x:t>
        </x:is>
      </x:c>
    </x:row>
    <x:row r="8" ht="36" customHeight="1">
      <x:c r="B8" s="8" t="inlineStr">
        <x:is>
          <x:t xml:space="preserve">PREMIUM (Pro)</x:t>
        </x:is>
      </x:c>
      <x:c r="C8" s="9" t="inlineStr">
        <x:is>
          <x:t xml:space="preserve">Rp 899,000</x:t>
        </x:is>
      </x:c>
      <x:c r="D8" s="9" t="inlineStr">
        <x:is>
          <x:t xml:space="preserve">Rp 8,990,000</x:t>
        </x:is>
      </x:c>
      <x:c r="E8" s="9" t="inlineStr">
        <x:is>
          <x:t xml:space="preserve">Up to 100</x:t>
        </x:is>
      </x:c>
      <x:c r="F8" s="9" t="inlineStr">
        <x:is>
          <x:t xml:space="preserve">Yes</x:t>
        </x:is>
      </x:c>
      <x:c r="G8" s="9" t="inlineStr">
        <x:is>
          <x:t xml:space="preserve">Yes</x:t>
        </x:is>
      </x:c>
      <x:c r="H8" s="9" t="inlineStr">
        <x:is>
          <x:t xml:space="preserve">Yes</x:t>
        </x:is>
      </x:c>
      <x:c r="I8" s="9" t="inlineStr">
        <x:is>
          <x:t xml:space="preserve">Priority support</x:t>
        </x:is>
      </x:c>
    </x:row>
    <x:row r="9" ht="36" customHeight="1">
      <x:c r="B9" s="8" t="inlineStr">
        <x:is>
          <x:t xml:space="preserve">BUSINESS</x:t>
        </x:is>
      </x:c>
      <x:c r="C9" s="9" t="inlineStr">
        <x:is>
          <x:t xml:space="preserve">Rp 3,900,000</x:t>
        </x:is>
      </x:c>
      <x:c r="D9" s="9" t="inlineStr">
        <x:is>
          <x:t xml:space="preserve">Rp 39,000,000</x:t>
        </x:is>
      </x:c>
      <x:c r="E9" s="9" t="inlineStr">
        <x:is>
          <x:t xml:space="preserve">Up to 100</x:t>
        </x:is>
      </x:c>
      <x:c r="F9" s="9" t="inlineStr">
        <x:is>
          <x:t xml:space="preserve">Yes</x:t>
        </x:is>
      </x:c>
      <x:c r="G9" s="9" t="inlineStr">
        <x:is>
          <x:t xml:space="preserve">Yes</x:t>
        </x:is>
      </x:c>
      <x:c r="H9" s="9" t="inlineStr">
        <x:is>
          <x:t xml:space="preserve">Yes + templates</x:t>
        </x:is>
      </x:c>
      <x:c r="I9" s="9" t="inlineStr">
        <x:is>
          <x:t xml:space="preserve">SLA + onboarding</x:t>
        </x:is>
      </x:c>
    </x:row>
    <x:row r="11">
      <x:c r="B11" s="3" t="inlineStr">
        <x:is>
          <x:t xml:space="preserve">Notes</x:t>
        </x:is>
      </x:c>
      <x:c r="C11" s="6" t="inlineStr">
        <x:is>
          <x:t xml:space="preserve">• Max 100 accounts is a safety limit (shadowban/banned risk control).
• AI Tools require your OpenAI API key (usage billed by OpenAI).
• Scheduling uses Repliz Public API; Repliz plan/limits apply.
• Business includes onboarding session + rollout support.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" customWidth="1"/>
    <x:col min="2" max="2" width="36" customWidth="1"/>
    <x:col min="3" max="3" width="14" customWidth="1"/>
    <x:col min="4" max="4" width="14" customWidth="1"/>
    <x:col min="5" max="5" width="14" customWidth="1"/>
    <x:col min="6" max="6" width="14" customWidth="1"/>
    <x:col min="7" max="7" width="30" customWidth="1"/>
  </x:cols>
  <x:sheetData>
    <x:row r="2">
      <x:c r="B2" s="5" t="inlineStr">
        <x:is>
          <x:t xml:space="preserve">Feature Matrix</x:t>
        </x:is>
      </x:c>
    </x:row>
    <x:row r="3">
      <x:c r="B3" s="10" t="inlineStr">
        <x:is>
          <x:t xml:space="preserve">Checkmarks show availability by plan (safety max 100 accounts for all).</x:t>
        </x:is>
      </x:c>
    </x:row>
    <x:row r="5" ht="28" customHeight="1">
      <x:c r="B5" s="7" t="inlineStr">
        <x:is>
          <x:t xml:space="preserve">Feature</x:t>
        </x:is>
      </x:c>
      <x:c r="C5" s="7" t="inlineStr">
        <x:is>
          <x:t xml:space="preserve">FREE</x:t>
        </x:is>
      </x:c>
      <x:c r="D5" s="7" t="inlineStr">
        <x:is>
          <x:t xml:space="preserve">BASIC</x:t>
        </x:is>
      </x:c>
      <x:c r="E5" s="7" t="inlineStr">
        <x:is>
          <x:t xml:space="preserve">PREMIUM</x:t>
        </x:is>
      </x:c>
      <x:c r="F5" s="7" t="inlineStr">
        <x:is>
          <x:t xml:space="preserve">BUSINESS</x:t>
        </x:is>
      </x:c>
      <x:c r="G5" s="7" t="inlineStr">
        <x:is>
          <x:t xml:space="preserve">Notes</x:t>
        </x:is>
      </x:c>
    </x:row>
    <x:row r="6" ht="34" customHeight="1">
      <x:c r="B6" s="9" t="inlineStr">
        <x:is>
          <x:t xml:space="preserve">Offline video processing (FFmpeg crop 9:16 / 16:9)</x:t>
        </x:is>
      </x:c>
      <x:c r="C6" s="11" t="inlineStr">
        <x:is>
          <x:t xml:space="preserve">✓</x:t>
        </x:is>
      </x:c>
      <x:c r="D6" s="11" t="inlineStr">
        <x:is>
          <x:t xml:space="preserve">✓</x:t>
        </x:is>
      </x:c>
      <x:c r="E6" s="11" t="inlineStr">
        <x:is>
          <x:t xml:space="preserve">✓</x:t>
        </x:is>
      </x:c>
      <x:c r="F6" s="11" t="inlineStr">
        <x:is>
          <x:t xml:space="preserve">✓</x:t>
        </x:is>
      </x:c>
      <x:c r="G6" s="9" t="inlineStr">
        <x:is>
          <x:t xml:space="preserve">Runs locally on Windows.</x:t>
        </x:is>
      </x:c>
    </x:row>
    <x:row r="7" ht="34" customHeight="1">
      <x:c r="B7" s="9" t="inlineStr">
        <x:is>
          <x:t xml:space="preserve">YouTube URL download + processing</x:t>
        </x:is>
      </x:c>
      <x:c r="C7" s="11" t="inlineStr">
        <x:is>
          <x:t xml:space="preserve"/>
        </x:is>
      </x:c>
      <x:c r="D7" s="11" t="inlineStr">
        <x:is>
          <x:t xml:space="preserve"/>
        </x:is>
      </x:c>
      <x:c r="E7" s="11" t="inlineStr">
        <x:is>
          <x:t xml:space="preserve">✓</x:t>
        </x:is>
      </x:c>
      <x:c r="F7" s="11" t="inlineStr">
        <x:is>
          <x:t xml:space="preserve">✓</x:t>
        </x:is>
      </x:c>
      <x:c r="G7" s="9" t="inlineStr">
        <x:is>
          <x:t xml:space="preserve">Pro/Trial/Business only.</x:t>
        </x:is>
      </x:c>
    </x:row>
    <x:row r="8" ht="34" customHeight="1">
      <x:c r="B8" s="9" t="inlineStr">
        <x:is>
          <x:t xml:space="preserve">Upload to Cloudinary (video + thumbnail)</x:t>
        </x:is>
      </x:c>
      <x:c r="C8" s="11" t="inlineStr">
        <x:is>
          <x:t xml:space="preserve"/>
        </x:is>
      </x:c>
      <x:c r="D8" s="11" t="inlineStr">
        <x:is>
          <x:t xml:space="preserve">✓</x:t>
        </x:is>
      </x:c>
      <x:c r="E8" s="11" t="inlineStr">
        <x:is>
          <x:t xml:space="preserve">✓</x:t>
        </x:is>
      </x:c>
      <x:c r="F8" s="11" t="inlineStr">
        <x:is>
          <x:t xml:space="preserve">✓</x:t>
        </x:is>
      </x:c>
      <x:c r="G8" s="9" t="inlineStr">
        <x:is>
          <x:t xml:space="preserve">Requires Cloudinary keys.</x:t>
        </x:is>
      </x:c>
    </x:row>
    <x:row r="9" ht="34" customHeight="1">
      <x:c r="B9" s="9" t="inlineStr">
        <x:is>
          <x:t xml:space="preserve">Repliz scheduling (selected accounts)</x:t>
        </x:is>
      </x:c>
      <x:c r="C9" s="11" t="inlineStr">
        <x:is>
          <x:t xml:space="preserve"/>
        </x:is>
      </x:c>
      <x:c r="D9" s="11" t="inlineStr">
        <x:is>
          <x:t xml:space="preserve">Optional</x:t>
        </x:is>
      </x:c>
      <x:c r="E9" s="11" t="inlineStr">
        <x:is>
          <x:t xml:space="preserve">✓</x:t>
        </x:is>
      </x:c>
      <x:c r="F9" s="11" t="inlineStr">
        <x:is>
          <x:t xml:space="preserve">✓</x:t>
        </x:is>
      </x:c>
      <x:c r="G9" s="9" t="inlineStr">
        <x:is>
          <x:t xml:space="preserve">Requires Repliz keys; Repliz limits apply.</x:t>
        </x:is>
      </x:c>
    </x:row>
    <x:row r="10" ht="34" customHeight="1">
      <x:c r="B10" s="9" t="inlineStr">
        <x:is>
          <x:t xml:space="preserve">AI: Hook generator</x:t>
        </x:is>
      </x:c>
      <x:c r="C10" s="11" t="inlineStr">
        <x:is>
          <x:t xml:space="preserve"/>
        </x:is>
      </x:c>
      <x:c r="D10" s="11" t="inlineStr">
        <x:is>
          <x:t xml:space="preserve"/>
        </x:is>
      </x:c>
      <x:c r="E10" s="11" t="inlineStr">
        <x:is>
          <x:t xml:space="preserve">✓</x:t>
        </x:is>
      </x:c>
      <x:c r="F10" s="11" t="inlineStr">
        <x:is>
          <x:t xml:space="preserve">✓</x:t>
        </x:is>
      </x:c>
      <x:c r="G10" s="9" t="inlineStr">
        <x:is>
          <x:t xml:space="preserve">Requires OpenAI key.</x:t>
        </x:is>
      </x:c>
    </x:row>
    <x:row r="11" ht="34" customHeight="1">
      <x:c r="B11" s="9" t="inlineStr">
        <x:is>
          <x:t xml:space="preserve">AI: Subtitle generation (multi-language support roadmap)</x:t>
        </x:is>
      </x:c>
      <x:c r="C11" s="11" t="inlineStr">
        <x:is>
          <x:t xml:space="preserve"/>
        </x:is>
      </x:c>
      <x:c r="D11" s="11" t="inlineStr">
        <x:is>
          <x:t xml:space="preserve"/>
        </x:is>
      </x:c>
      <x:c r="E11" s="11" t="inlineStr">
        <x:is>
          <x:t xml:space="preserve">✓</x:t>
        </x:is>
      </x:c>
      <x:c r="F11" s="11" t="inlineStr">
        <x:is>
          <x:t xml:space="preserve">✓</x:t>
        </x:is>
      </x:c>
      <x:c r="G11" s="9" t="inlineStr">
        <x:is>
          <x:t xml:space="preserve">Burn-in roadmap; SRT export supported.</x:t>
        </x:is>
      </x:c>
    </x:row>
    <x:row r="12" ht="34" customHeight="1">
      <x:c r="B12" s="9" t="inlineStr">
        <x:is>
          <x:t xml:space="preserve">AI: Niche analyzer</x:t>
        </x:is>
      </x:c>
      <x:c r="C12" s="11" t="inlineStr">
        <x:is>
          <x:t xml:space="preserve"/>
        </x:is>
      </x:c>
      <x:c r="D12" s="11" t="inlineStr">
        <x:is>
          <x:t xml:space="preserve"/>
        </x:is>
      </x:c>
      <x:c r="E12" s="11" t="inlineStr">
        <x:is>
          <x:t xml:space="preserve">✓</x:t>
        </x:is>
      </x:c>
      <x:c r="F12" s="11" t="inlineStr">
        <x:is>
          <x:t xml:space="preserve">✓</x:t>
        </x:is>
      </x:c>
      <x:c r="G12" s="9" t="inlineStr">
        <x:is>
          <x:t xml:space="preserve">Market/niche suggestions.</x:t>
        </x:is>
      </x:c>
    </x:row>
    <x:row r="13" ht="34" customHeight="1">
      <x:c r="B13" s="9" t="inlineStr">
        <x:is>
          <x:t xml:space="preserve">AI: Hashtag engine</x:t>
        </x:is>
      </x:c>
      <x:c r="C13" s="11" t="inlineStr">
        <x:is>
          <x:t xml:space="preserve"/>
        </x:is>
      </x:c>
      <x:c r="D13" s="11" t="inlineStr">
        <x:is>
          <x:t xml:space="preserve"/>
        </x:is>
      </x:c>
      <x:c r="E13" s="11" t="inlineStr">
        <x:is>
          <x:t xml:space="preserve">✓</x:t>
        </x:is>
      </x:c>
      <x:c r="F13" s="11" t="inlineStr">
        <x:is>
          <x:t xml:space="preserve">✓</x:t>
        </x:is>
      </x:c>
      <x:c r="G13" s="9" t="inlineStr">
        <x:is>
          <x:t xml:space="preserve">Platform-specific tags.</x:t>
        </x:is>
      </x:c>
    </x:row>
    <x:row r="14" ht="34" customHeight="1">
      <x:c r="B14" s="9" t="inlineStr">
        <x:is>
          <x:t xml:space="preserve">Account selection UI (checkbox) + mapping portrait/landscape</x:t>
        </x:is>
      </x:c>
      <x:c r="C14" s="11" t="inlineStr">
        <x:is>
          <x:t xml:space="preserve"/>
        </x:is>
      </x:c>
      <x:c r="D14" s="11" t="inlineStr">
        <x:is>
          <x:t xml:space="preserve">✓</x:t>
        </x:is>
      </x:c>
      <x:c r="E14" s="11" t="inlineStr">
        <x:is>
          <x:t xml:space="preserve">✓</x:t>
        </x:is>
      </x:c>
      <x:c r="F14" s="11" t="inlineStr">
        <x:is>
          <x:t xml:space="preserve">✓</x:t>
        </x:is>
      </x:c>
      <x:c r="G14" s="9" t="inlineStr">
        <x:is>
          <x:t xml:space="preserve">Max 100 accounts.</x:t>
        </x:is>
      </x:c>
    </x:row>
    <x:row r="15" ht="34" customHeight="1">
      <x:c r="B15" s="9" t="inlineStr">
        <x:is>
          <x:t xml:space="preserve">Templates: Auto schedule distribution (posts/day)</x:t>
        </x:is>
      </x:c>
      <x:c r="C15" s="11" t="inlineStr">
        <x:is>
          <x:t xml:space="preserve"/>
        </x:is>
      </x:c>
      <x:c r="D15" s="11" t="inlineStr">
        <x:is>
          <x:t xml:space="preserve"/>
        </x:is>
      </x:c>
      <x:c r="E15" s="11" t="inlineStr">
        <x:is>
          <x:t xml:space="preserve">Limited</x:t>
        </x:is>
      </x:c>
      <x:c r="F15" s="11" t="inlineStr">
        <x:is>
          <x:t xml:space="preserve">✓</x:t>
        </x:is>
      </x:c>
      <x:c r="G15" s="9" t="inlineStr">
        <x:is>
          <x:t xml:space="preserve">Best for agencies/teams.</x:t>
        </x:is>
      </x:c>
    </x:row>
    <x:row r="16" ht="34" customHeight="1">
      <x:c r="B16" s="9" t="inlineStr">
        <x:is>
          <x:t xml:space="preserve">Team onboarding + SOP</x:t>
        </x:is>
      </x:c>
      <x:c r="C16" s="11" t="inlineStr">
        <x:is>
          <x:t xml:space="preserve"/>
        </x:is>
      </x:c>
      <x:c r="D16" s="11" t="inlineStr">
        <x:is>
          <x:t xml:space="preserve"/>
        </x:is>
      </x:c>
      <x:c r="E16" s="11" t="inlineStr">
        <x:is>
          <x:t xml:space="preserve"/>
        </x:is>
      </x:c>
      <x:c r="F16" s="11" t="inlineStr">
        <x:is>
          <x:t xml:space="preserve">✓</x:t>
        </x:is>
      </x:c>
      <x:c r="G16" s="9" t="inlineStr">
        <x:is>
          <x:t xml:space="preserve">Business plan.</x:t>
        </x:is>
      </x:c>
    </x:row>
    <x:row r="17" ht="34" customHeight="1">
      <x:c r="B17" s="9" t="inlineStr">
        <x:is>
          <x:t xml:space="preserve">Priority support / SLA</x:t>
        </x:is>
      </x:c>
      <x:c r="C17" s="11" t="inlineStr">
        <x:is>
          <x:t xml:space="preserve"/>
        </x:is>
      </x:c>
      <x:c r="D17" s="11" t="inlineStr">
        <x:is>
          <x:t xml:space="preserve"/>
        </x:is>
      </x:c>
      <x:c r="E17" s="11" t="inlineStr">
        <x:is>
          <x:t xml:space="preserve">Priority</x:t>
        </x:is>
      </x:c>
      <x:c r="F17" s="11" t="inlineStr">
        <x:is>
          <x:t xml:space="preserve">✓</x:t>
        </x:is>
      </x:c>
      <x:c r="G17" s="9" t="inlineStr">
        <x:is>
          <x:t xml:space="preserve">Business includes SLA.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" customWidth="1"/>
    <x:col min="2" max="2" width="34" customWidth="1"/>
    <x:col min="3" max="3" width="18" customWidth="1"/>
    <x:col min="4" max="4" width="18" customWidth="1"/>
    <x:col min="5" max="5" width="18" customWidth="1"/>
    <x:col min="6" max="6" width="18" customWidth="1"/>
  </x:cols>
  <x:sheetData>
    <x:row r="2">
      <x:c r="B2" s="5" t="inlineStr">
        <x:is>
          <x:t xml:space="preserve">ROI Calculator (Simple)</x:t>
        </x:is>
      </x:c>
    </x:row>
    <x:row r="3">
      <x:c r="B3" s="10" t="inlineStr">
        <x:is>
          <x:t xml:space="preserve">Blue cells are inputs. Adjust assumptions to estimate monthly savings.</x:t>
        </x:is>
      </x:c>
    </x:row>
    <x:row r="5">
      <x:c r="B5" s="3" t="inlineStr">
        <x:is>
          <x:t xml:space="preserve">Inputs</x:t>
        </x:is>
      </x:c>
    </x:row>
    <x:row r="6">
      <x:c r="B6" s="12" t="inlineStr">
        <x:is>
          <x:t xml:space="preserve">Videos processed per month</x:t>
        </x:is>
      </x:c>
      <x:c r="C6" s="13" t="n">
        <x:v>60</x:v>
      </x:c>
    </x:row>
    <x:row r="7">
      <x:c r="B7" s="12" t="inlineStr">
        <x:is>
          <x:t xml:space="preserve">Avg minutes saved per video (manual editing → GNX)</x:t>
        </x:is>
      </x:c>
      <x:c r="C7" s="13" t="n">
        <x:v>25</x:v>
      </x:c>
    </x:row>
    <x:row r="8">
      <x:c r="B8" s="12" t="inlineStr">
        <x:is>
          <x:t xml:space="preserve">Hourly cost (IDR)</x:t>
        </x:is>
      </x:c>
      <x:c r="C8" s="13" t="n">
        <x:v>75000</x:v>
      </x:c>
    </x:row>
    <x:row r="9">
      <x:c r="B9" s="12" t="inlineStr">
        <x:is>
          <x:t xml:space="preserve">AI usage cost per month (IDR) (optional)</x:t>
        </x:is>
      </x:c>
      <x:c r="C9" s="13" t="n">
        <x:v>150000</x:v>
      </x:c>
    </x:row>
    <x:row r="10">
      <x:c r="B10" s="12" t="inlineStr">
        <x:is>
          <x:t xml:space="preserve">Cloudinary+Repliz extra costs per month (IDR) (optional)</x:t>
        </x:is>
      </x:c>
      <x:c r="C10" s="13" t="n">
        <x:v>200000</x:v>
      </x:c>
    </x:row>
    <x:row r="11">
      <x:c r="B11" s="12" t="inlineStr">
        <x:is>
          <x:t xml:space="preserve">Plan monthly fee (IDR)</x:t>
        </x:is>
      </x:c>
      <x:c r="C11" s="13" t="n">
        <x:v>899000</x:v>
      </x:c>
    </x:row>
    <x:row r="13">
      <x:c r="B13" s="3" t="inlineStr">
        <x:is>
          <x:t xml:space="preserve">Outputs</x:t>
        </x:is>
      </x:c>
    </x:row>
    <x:row r="14">
      <x:c r="B14" s="14" t="inlineStr">
        <x:is>
          <x:t xml:space="preserve">Hours saved per month</x:t>
        </x:is>
      </x:c>
      <x:c r="C14" s="15">
        <x:f>C6*C7/60</x:f>
        <x:v>25</x:v>
      </x:c>
    </x:row>
    <x:row r="15">
      <x:c r="B15" s="14" t="inlineStr">
        <x:is>
          <x:t xml:space="preserve">Labor savings (IDR)</x:t>
        </x:is>
      </x:c>
      <x:c r="C15" s="16">
        <x:f>C14*C8</x:f>
        <x:v>1875000</x:v>
      </x:c>
    </x:row>
    <x:row r="16">
      <x:c r="B16" s="14" t="inlineStr">
        <x:is>
          <x:t xml:space="preserve">Total monthly costs (plan + AI + services)</x:t>
        </x:is>
      </x:c>
      <x:c r="C16" s="16">
        <x:f>C11+C9+C10</x:f>
        <x:v>1249000</x:v>
      </x:c>
    </x:row>
    <x:row r="17">
      <x:c r="B17" s="14" t="inlineStr">
        <x:is>
          <x:t xml:space="preserve">Net savings (IDR)</x:t>
        </x:is>
      </x:c>
      <x:c r="C17" s="16">
        <x:f>C15-C16</x:f>
        <x:v>626000</x:v>
      </x:c>
    </x:row>
    <x:row r="18">
      <x:c r="B18" s="14" t="inlineStr">
        <x:is>
          <x:t xml:space="preserve">ROI (Net savings / Total costs)</x:t>
        </x:is>
      </x:c>
      <x:c r="C18" s="17">
        <x:f>IF(C16=0,0,C17/C16)</x:f>
        <x:v>0.5012009607686149</x:v>
      </x:c>
    </x:row>
    <x:row r="20">
      <x:c r="B20" s="3" t="inlineStr">
        <x:is>
          <x:t xml:space="preserve">Tip</x:t>
        </x:is>
      </x:c>
      <x:c r="C20" s="6" t="inlineStr">
        <x:is>
          <x:t xml:space="preserve">Use Premium plan values by default. For FREE/BASIC, set plan fee to 0/299k and AI costs to 0.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" customWidth="1"/>
    <x:col min="2" max="2" width="18" customWidth="1"/>
    <x:col min="3" max="3" width="18" customWidth="1"/>
    <x:col min="4" max="4" width="60" customWidth="1"/>
  </x:cols>
  <x:sheetData>
    <x:row r="2">
      <x:c r="B2" s="5" t="inlineStr">
        <x:is>
          <x:t xml:space="preserve">Implementation Plan</x:t>
        </x:is>
      </x:c>
    </x:row>
    <x:row r="3">
      <x:c r="B3" s="10" t="inlineStr">
        <x:is>
          <x:t xml:space="preserve">Typical rollout for small to large teams.</x:t>
        </x:is>
      </x:c>
    </x:row>
    <x:row r="4">
      <x:c r="A4" t="inlineStr">
        <x:is>
          <x:t xml:space="preserve"/>
        </x:is>
      </x:c>
      <x:c r="B4" t="inlineStr">
        <x:is>
          <x:t xml:space="preserve"/>
        </x:is>
      </x:c>
      <x:c r="C4" t="inlineStr">
        <x:is>
          <x:t xml:space="preserve"/>
        </x:is>
      </x:c>
      <x:c r="D4" t="inlineStr">
        <x:is>
          <x:t xml:space="preserve"/>
        </x:is>
      </x:c>
    </x:row>
    <x:row r="5">
      <x:c r="B5" s="7" t="inlineStr">
        <x:is>
          <x:t xml:space="preserve">Phase</x:t>
        </x:is>
      </x:c>
      <x:c r="C5" s="7" t="inlineStr">
        <x:is>
          <x:t xml:space="preserve">Duration</x:t>
        </x:is>
      </x:c>
      <x:c r="D5" s="7" t="inlineStr">
        <x:is>
          <x:t xml:space="preserve">Owner</x:t>
        </x:is>
      </x:c>
      <x:c r="E5" s="7" t="inlineStr">
        <x:is>
          <x:t xml:space="preserve">Deliverables</x:t>
        </x:is>
      </x:c>
    </x:row>
    <x:row r="6" ht="34" customHeight="1">
      <x:c r="B6" s="9" t="inlineStr">
        <x:is>
          <x:t xml:space="preserve">Pilot</x:t>
        </x:is>
      </x:c>
      <x:c r="C6" s="9" t="inlineStr">
        <x:is>
          <x:t xml:space="preserve">1-3 days</x:t>
        </x:is>
      </x:c>
      <x:c r="D6" s="9" t="inlineStr">
        <x:is>
          <x:t xml:space="preserve">Client + GNX</x:t>
        </x:is>
      </x:c>
      <x:c r="E6" s="9" t="inlineStr">
        <x:is>
          <x:t xml:space="preserve">Install app, configure keys, run 5-10 videos, validate workflow.</x:t>
        </x:is>
      </x:c>
    </x:row>
    <x:row r="7" ht="34" customHeight="1">
      <x:c r="B7" s="9" t="inlineStr">
        <x:is>
          <x:t xml:space="preserve">Standardization</x:t>
        </x:is>
      </x:c>
      <x:c r="C7" s="9" t="inlineStr">
        <x:is>
          <x:t xml:space="preserve">1 week</x:t>
        </x:is>
      </x:c>
      <x:c r="D7" s="9" t="inlineStr">
        <x:is>
          <x:t xml:space="preserve">Client</x:t>
        </x:is>
      </x:c>
      <x:c r="E7" s="9" t="inlineStr">
        <x:is>
          <x:t xml:space="preserve">Define presets: format mode, safe areas, schedule templates, naming.</x:t>
        </x:is>
      </x:c>
    </x:row>
    <x:row r="8" ht="34" customHeight="1">
      <x:c r="B8" s="9" t="inlineStr">
        <x:is>
          <x:t xml:space="preserve">Rollout</x:t>
        </x:is>
      </x:c>
      <x:c r="C8" s="9" t="inlineStr">
        <x:is>
          <x:t xml:space="preserve">1-2 weeks</x:t>
        </x:is>
      </x:c>
      <x:c r="D8" s="9" t="inlineStr">
        <x:is>
          <x:t xml:space="preserve">Client + GNX</x:t>
        </x:is>
      </x:c>
      <x:c r="E8" s="9" t="inlineStr">
        <x:is>
          <x:t xml:space="preserve">Train operators, create SOP, enable scheduling, monitor results.</x:t>
        </x:is>
      </x:c>
    </x:row>
    <x:row r="9" ht="34" customHeight="1">
      <x:c r="B9" s="9" t="inlineStr">
        <x:is>
          <x:t xml:space="preserve">Optimization</x:t>
        </x:is>
      </x:c>
      <x:c r="C9" s="9" t="inlineStr">
        <x:is>
          <x:t xml:space="preserve">Ongoing</x:t>
        </x:is>
      </x:c>
      <x:c r="D9" s="9" t="inlineStr">
        <x:is>
          <x:t xml:space="preserve">Client + GNX</x:t>
        </x:is>
      </x:c>
      <x:c r="E9" s="9" t="inlineStr">
        <x:is>
          <x:t xml:space="preserve">Improve prompts, add templates, expand accounts up to 100 safely.</x:t>
        </x:is>
      </x:c>
    </x:row>
    <x:row r="10" ht="34" customHeight="1">
      <x:c r="B10" s="9" t="inlineStr">
        <x:is>
          <x:t xml:space="preserve">SaaS Migration (optional)</x:t>
        </x:is>
      </x:c>
      <x:c r="C10" s="9" t="inlineStr">
        <x:is>
          <x:t xml:space="preserve">Future</x:t>
        </x:is>
      </x:c>
      <x:c r="D10" s="9" t="inlineStr">
        <x:is>
          <x:t xml:space="preserve">GNX</x:t>
        </x:is>
      </x:c>
      <x:c r="E10" s="9" t="inlineStr">
        <x:is>
          <x:t xml:space="preserve">Move to VPS/domain when ready; multi-tenant, web dashboard.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" customWidth="1"/>
    <x:col min="2" max="2" width="28" customWidth="1"/>
    <x:col min="3" max="3" width="70" customWidth="1"/>
  </x:cols>
  <x:sheetData>
    <x:row r="2">
      <x:c r="B2" s="5" t="inlineStr">
        <x:is>
          <x:t xml:space="preserve">Commercial Terms &amp; Notes</x:t>
        </x:is>
      </x:c>
    </x:row>
    <x:row r="5" ht="30" customHeight="1">
      <x:c r="B5" s="18" t="inlineStr">
        <x:is>
          <x:t xml:space="preserve">Account safety</x:t>
        </x:is>
      </x:c>
      <x:c r="C5" s="12" t="inlineStr">
        <x:is>
          <x:t xml:space="preserve">Hard cap of 100 scheduled social accounts to reduce shadowban/banned risk.</x:t>
        </x:is>
      </x:c>
    </x:row>
    <x:row r="6" ht="30" customHeight="1">
      <x:c r="B6" s="18" t="inlineStr">
        <x:is>
          <x:t xml:space="preserve">Third-party costs</x:t>
        </x:is>
      </x:c>
      <x:c r="C6" s="12" t="inlineStr">
        <x:is>
          <x:t xml:space="preserve">OpenAI/Cloudinary/Repliz usage fees are billed by their providers and are not included.</x:t>
        </x:is>
      </x:c>
    </x:row>
    <x:row r="7" ht="30" customHeight="1">
      <x:c r="B7" s="18" t="inlineStr">
        <x:is>
          <x:t xml:space="preserve">Data &amp; privacy</x:t>
        </x:is>
      </x:c>
      <x:c r="C7" s="12" t="inlineStr">
        <x:is>
          <x:t xml:space="preserve">Video processing runs locally; uploads happen only when Cloudinary upload is enabled.</x:t>
        </x:is>
      </x:c>
    </x:row>
    <x:row r="8" ht="30" customHeight="1">
      <x:c r="B8" s="18" t="inlineStr">
        <x:is>
          <x:t xml:space="preserve">Support</x:t>
        </x:is>
      </x:c>
      <x:c r="C8" s="12" t="inlineStr">
        <x:is>
          <x:t xml:space="preserve">Premium includes priority support; Business includes onboarding and optional SLA.</x:t>
        </x:is>
      </x:c>
    </x:row>
    <x:row r="9" ht="30" customHeight="1">
      <x:c r="B9" s="18" t="inlineStr">
        <x:is>
          <x:t xml:space="preserve">Custom / Enterprise</x:t>
        </x:is>
      </x:c>
      <x:c r="C9" s="12" t="inlineStr">
        <x:is>
          <x:t xml:space="preserve">Enterprise requirements (SSO, central reporting, audit logs) available on request (future SaaS).</x:t>
        </x:is>
      </x:c>
    </x:row>
  </x:sheetData>
  <x:pageMargins left="0.7" right="0.7" top="0.75" bottom="0.75" header="0.3" footer="0.3"/>
</x:worksheet>
</file>